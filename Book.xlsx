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126" documentId="11_9F5155BF84DCCE23E851EEDB9531F45BCA7245BF" xr6:coauthVersionLast="47" xr6:coauthVersionMax="47" xr10:uidLastSave="{739D4E32-0871-4AC8-BAC7-F793BB8AAF84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G3" i="1"/>
  <c r="G4" i="1"/>
  <c r="G5" i="1"/>
  <c r="G6" i="1"/>
  <c r="H6" i="1"/>
  <c r="H3" i="1"/>
  <c r="H4" i="1"/>
  <c r="H5" i="1"/>
  <c r="H2" i="1"/>
  <c r="F2" i="1"/>
  <c r="G2" i="1" s="1"/>
  <c r="F3" i="1"/>
  <c r="F4" i="1"/>
  <c r="F5" i="1"/>
  <c r="F6" i="1"/>
</calcChain>
</file>

<file path=xl/sharedStrings.xml><?xml version="1.0" encoding="utf-8"?>
<sst xmlns="http://schemas.openxmlformats.org/spreadsheetml/2006/main" count="25" uniqueCount="23">
  <si>
    <t>ÜRÜN KODU</t>
  </si>
  <si>
    <t>ÜRÜN ADI</t>
  </si>
  <si>
    <t>KATEGORİ</t>
  </si>
  <si>
    <t>STOK MİKTARI</t>
  </si>
  <si>
    <t>BİRİM FİYAT</t>
  </si>
  <si>
    <t>DURUM</t>
  </si>
  <si>
    <t>TOPLAM DEĞER</t>
  </si>
  <si>
    <t>TOPLAM ÜRÜN ADEDİ</t>
  </si>
  <si>
    <t>ACİL SİPARİŞ ÜRÜN ADEDİ</t>
  </si>
  <si>
    <t>UR-001</t>
  </si>
  <si>
    <t>VİDA</t>
  </si>
  <si>
    <t>HAMMADDE</t>
  </si>
  <si>
    <t>UR-002</t>
  </si>
  <si>
    <t xml:space="preserve">SOMUN </t>
  </si>
  <si>
    <t>EL-101</t>
  </si>
  <si>
    <t xml:space="preserve">KABLO </t>
  </si>
  <si>
    <t>YARI MAMUL</t>
  </si>
  <si>
    <t>MA-201</t>
  </si>
  <si>
    <t>MOTOR</t>
  </si>
  <si>
    <t>MAMHUL</t>
  </si>
  <si>
    <t>MA202</t>
  </si>
  <si>
    <t>RULMAN</t>
  </si>
  <si>
    <t>MAMUL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</si>
</sst>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G2" sqref="G2:G6"/>
    </sheetView>
  </sheetViews>
  <sheetFormatPr defaultRowHeight="15"/>
  <cols>
    <col min="1" max="1" width="20.85546875" bestFit="1" customWidth="1"/>
    <col min="2" max="2" width="13.42578125" customWidth="1"/>
    <col min="3" max="3" width="17.140625" customWidth="1"/>
    <col min="4" max="4" width="19.5703125" customWidth="1"/>
    <col min="5" max="5" width="15.85546875" customWidth="1"/>
    <col min="6" max="6" width="16.5703125" customWidth="1"/>
    <col min="7" max="7" width="36.5703125" bestFit="1" customWidth="1"/>
    <col min="8" max="8" width="20.42578125" customWidth="1"/>
    <col min="9" max="9" width="28.28515625" customWidth="1"/>
    <col min="10" max="10" width="24.28515625" customWidth="1"/>
  </cols>
  <sheetData>
    <row r="1" spans="1:10" ht="39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</v>
      </c>
      <c r="H1" s="3" t="s">
        <v>6</v>
      </c>
      <c r="I1" s="3" t="s">
        <v>7</v>
      </c>
      <c r="J1" s="7" t="s">
        <v>8</v>
      </c>
    </row>
    <row r="2" spans="1:10" ht="26.25">
      <c r="A2" s="1" t="s">
        <v>9</v>
      </c>
      <c r="B2" s="4" t="s">
        <v>10</v>
      </c>
      <c r="C2" s="4" t="s">
        <v>11</v>
      </c>
      <c r="D2" s="5">
        <v>120</v>
      </c>
      <c r="E2" s="4">
        <v>120</v>
      </c>
      <c r="F2" s="6" t="str">
        <f>IF(D2&lt;=25,"AZ",IF(D2&lt;75,"ORTA","ÇOK"))</f>
        <v>ÇOK</v>
      </c>
      <c r="G2" s="6" t="str">
        <f>IF(F2="AZ","SİPARİŞ",IF(F2="ORTA","TAKİP",IF(F2="ÇOK","SORUN YOK","")))</f>
        <v>SORUN YOK</v>
      </c>
      <c r="H2" s="4">
        <f>D2*E2</f>
        <v>14400</v>
      </c>
      <c r="I2" s="5">
        <f>SUM(D2:D7)</f>
        <v>216</v>
      </c>
      <c r="J2" s="4">
        <f>COUNTIF(G2:G6,"=SİPARİŞ")</f>
        <v>3</v>
      </c>
    </row>
    <row r="3" spans="1:10" ht="26.25">
      <c r="A3" s="1" t="s">
        <v>12</v>
      </c>
      <c r="B3" s="4" t="s">
        <v>13</v>
      </c>
      <c r="C3" s="4" t="s">
        <v>11</v>
      </c>
      <c r="D3" s="5">
        <v>8</v>
      </c>
      <c r="E3" s="4">
        <v>3</v>
      </c>
      <c r="F3" s="6" t="str">
        <f t="shared" ref="F3:F6" si="0">IF(D3&lt;=25,"AZ",IF(D3&lt;75,"ORTA","ÇOK"))</f>
        <v>AZ</v>
      </c>
      <c r="G3" s="6" t="str">
        <f t="shared" ref="G3:G6" si="1">IF(F3="AZ","SİPARİŞ",IF(F3="ORTA","TAKİP",IF(F3="ÇOK","SORUN YOK","")))</f>
        <v>SİPARİŞ</v>
      </c>
      <c r="H3" s="4">
        <f t="shared" ref="H3:H6" si="2">D3*E3</f>
        <v>24</v>
      </c>
    </row>
    <row r="4" spans="1:10" ht="26.25">
      <c r="A4" s="1" t="s">
        <v>14</v>
      </c>
      <c r="B4" s="4" t="s">
        <v>15</v>
      </c>
      <c r="C4" s="4" t="s">
        <v>16</v>
      </c>
      <c r="D4" s="5">
        <v>25</v>
      </c>
      <c r="E4" s="4">
        <v>40</v>
      </c>
      <c r="F4" s="6" t="str">
        <f t="shared" si="0"/>
        <v>AZ</v>
      </c>
      <c r="G4" s="6" t="str">
        <f t="shared" si="1"/>
        <v>SİPARİŞ</v>
      </c>
      <c r="H4" s="4">
        <f t="shared" si="2"/>
        <v>1000</v>
      </c>
    </row>
    <row r="5" spans="1:10" ht="26.25">
      <c r="A5" s="1" t="s">
        <v>17</v>
      </c>
      <c r="B5" s="4" t="s">
        <v>18</v>
      </c>
      <c r="C5" s="4" t="s">
        <v>19</v>
      </c>
      <c r="D5" s="5">
        <v>3</v>
      </c>
      <c r="E5" s="4">
        <v>1500</v>
      </c>
      <c r="F5" s="6" t="str">
        <f t="shared" si="0"/>
        <v>AZ</v>
      </c>
      <c r="G5" s="6" t="str">
        <f t="shared" si="1"/>
        <v>SİPARİŞ</v>
      </c>
      <c r="H5" s="4">
        <f t="shared" si="2"/>
        <v>4500</v>
      </c>
    </row>
    <row r="6" spans="1:10" ht="26.25">
      <c r="A6" s="1" t="s">
        <v>20</v>
      </c>
      <c r="B6" s="4" t="s">
        <v>21</v>
      </c>
      <c r="C6" s="4" t="s">
        <v>22</v>
      </c>
      <c r="D6" s="5">
        <v>60</v>
      </c>
      <c r="E6" s="4">
        <v>200</v>
      </c>
      <c r="F6" s="6" t="str">
        <f t="shared" si="0"/>
        <v>ORTA</v>
      </c>
      <c r="G6" s="6" t="str">
        <f t="shared" si="1"/>
        <v>TAKİP</v>
      </c>
      <c r="H6" s="4">
        <f t="shared" si="2"/>
        <v>12000</v>
      </c>
    </row>
    <row r="7" spans="1:10" ht="26.25">
      <c r="A7" s="1"/>
      <c r="F7" s="2"/>
    </row>
    <row r="8" spans="1:10" ht="26.25">
      <c r="A8" s="1"/>
    </row>
    <row r="9" spans="1:10" ht="26.25">
      <c r="A9" s="1"/>
    </row>
    <row r="10" spans="1:10" ht="26.25">
      <c r="A10" s="1"/>
    </row>
    <row r="11" spans="1:10" ht="26.25">
      <c r="A11" s="1"/>
    </row>
    <row r="12" spans="1:10" ht="26.25">
      <c r="A12" s="1"/>
    </row>
    <row r="13" spans="1:10" ht="26.25">
      <c r="A13" s="1"/>
    </row>
  </sheetData>
  <conditionalFormatting sqref="D2:D6">
    <cfRule type="cellIs" dxfId="5" priority="8" stopIfTrue="1" operator="lessThanOrEqual">
      <formula>25</formula>
    </cfRule>
  </conditionalFormatting>
  <conditionalFormatting sqref="D2:D6">
    <cfRule type="cellIs" dxfId="4" priority="5" operator="greaterThan">
      <formula>25</formula>
    </cfRule>
  </conditionalFormatting>
  <conditionalFormatting sqref="D2:D6">
    <cfRule type="cellIs" dxfId="3" priority="4" operator="greaterThan">
      <formula>75</formula>
    </cfRule>
  </conditionalFormatting>
  <conditionalFormatting sqref="G2:G6">
    <cfRule type="containsText" dxfId="2" priority="3" operator="containsText" text="SORUN YOK">
      <formula>NOT(ISERROR(SEARCH("SORUN YOK",G2)))</formula>
    </cfRule>
  </conditionalFormatting>
  <conditionalFormatting sqref="G2:G6">
    <cfRule type="containsText" dxfId="1" priority="2" operator="containsText" text="SİPARİŞ">
      <formula>NOT(ISERROR(SEARCH("SİPARİŞ",G2)))</formula>
    </cfRule>
  </conditionalFormatting>
  <conditionalFormatting sqref="G2:G6">
    <cfRule type="containsText" dxfId="0" priority="1" operator="containsText" text="TAKİP">
      <formula>NOT(ISERROR(SEARCH("TAKİP",G2)))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Bilal selim Eser</cp:lastModifiedBy>
  <cp:revision/>
  <dcterms:created xsi:type="dcterms:W3CDTF">2025-12-29T11:17:41Z</dcterms:created>
  <dcterms:modified xsi:type="dcterms:W3CDTF">2025-12-29T12:10:01Z</dcterms:modified>
  <cp:category/>
  <cp:contentStatus/>
</cp:coreProperties>
</file>